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cords" sheetId="2" state="visible" r:id="rId4"/>
    <sheet name="Agreeme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<sst xmlns="http://schemas.openxmlformats.org/spreadsheetml/2006/main" count="185" uniqueCount="121">
  <si>
    <t xml:space="preserve">Clinician verification of the automated extraction (LMIC-CRIS)</t>
  </si>
  <si>
    <t xml:space="preserve">Purpose: check whether the automated rules classified the pathology diagnosis and extracted prostate volume correctly. 50 records were drawn at random (seed 42) from the 203 valid records, including records excluded for no definitive histology.</t>
  </si>
  <si>
    <t xml:space="preserve">How to complete the Records sheet (yellow cells only):</t>
  </si>
  <si>
    <t xml:space="preserve">1. Read the diagnosis text and decide the class, WITHOUT looking at the automated class first if possible: malignant, benign, or no definitive histology.</t>
  </si>
  <si>
    <t xml:space="preserve">   Malignant: the primary diagnosis names carcinoma, adenocarcinoma, sarcoma or malignancy. Benign: hyperplasia, prostatitis or benign tissue. No definitive histology: inadequate, uncertain, suspicious or query diagnosis.</t>
  </si>
  <si>
    <t xml:space="preserve">   Advisory notes (NB) such as 'repeat biopsy if malignancy is suspected' should not make a benign diagnosis malignant.</t>
  </si>
  <si>
    <t xml:space="preserve">2. Read the imaging text and enter the prostate volume in mL (cm3 is equal to mL). Type 'none' if no volume is stated. Areas in cm2 are not volumes.</t>
  </si>
  <si>
    <t xml:space="preserve">3. Use the Comment column for anything unclear.</t>
  </si>
  <si>
    <t xml:space="preserve">The Agreement sheet calculates agreement, kappa and a list of disagreements automatically.</t>
  </si>
  <si>
    <t xml:space="preserve">Source row numbers are Excel row numbers in df.xlsx. No patient names are included.</t>
  </si>
  <si>
    <t xml:space="preserve">Return the completed workbook so the analysis can be updated if any rule needs correcting.</t>
  </si>
  <si>
    <t xml:space="preserve">source_row</t>
  </si>
  <si>
    <t xml:space="preserve">diagnosis_text</t>
  </si>
  <si>
    <t xml:space="preserve">imaging_text</t>
  </si>
  <si>
    <t xml:space="preserve">automated_class</t>
  </si>
  <si>
    <t xml:space="preserve">automated_volume_ml</t>
  </si>
  <si>
    <t xml:space="preserve">clinician_class</t>
  </si>
  <si>
    <t xml:space="preserve">clinician_volume_ml</t>
  </si>
  <si>
    <t xml:space="preserve">class_agrees</t>
  </si>
  <si>
    <t xml:space="preserve">volume_agrees</t>
  </si>
  <si>
    <t xml:space="preserve">comment</t>
  </si>
  <si>
    <t xml:space="preserve">NODULAR HYPERPLASIA</t>
  </si>
  <si>
    <t xml:space="preserve">Vol enlarged, 150ml</t>
  </si>
  <si>
    <t xml:space="preserve">benign</t>
  </si>
  <si>
    <t xml:space="preserve">Enlarged, vol. 40.4ml</t>
  </si>
  <si>
    <t xml:space="preserve">38.8cm3</t>
  </si>
  <si>
    <t xml:space="preserve">59.0ml</t>
  </si>
  <si>
    <t xml:space="preserve">NODULAR HYPERPLASIA IN A BACKGROUND OF CHRONIC PROSTATITIS NB: If malignancy is strongly suspected, a repeat biopsy is advised.</t>
  </si>
  <si>
    <t xml:space="preserve">ENLARGED, 125ml</t>
  </si>
  <si>
    <t xml:space="preserve">NODULAR HYPERPLASIA (Prostate tru-cut biopsy) NB: Sample shows predominant stroma hyperplasia with glandular elements on only 2 out of the 6 strands. Thank you.</t>
  </si>
  <si>
    <t xml:space="preserve">Enlarged, 46.1ml</t>
  </si>
  <si>
    <t xml:space="preserve">enlarged, 112ml</t>
  </si>
  <si>
    <t xml:space="preserve">NODULAR HYPERPLASIA + CHRONIC PROSTATITIS NB: A repeat biopsy is advised as a result of high PSA please.</t>
  </si>
  <si>
    <t xml:space="preserve">Enlarged, Vol. 453.8ml</t>
  </si>
  <si>
    <t xml:space="preserve">ADENOCARCINOMA (GLEASON SCORE 4+4 = 8) (Prostate biopsy)</t>
  </si>
  <si>
    <t xml:space="preserve">Enlarged, vol 158.6ml</t>
  </si>
  <si>
    <t xml:space="preserve">malignant</t>
  </si>
  <si>
    <t xml:space="preserve">ADENOCARCINOMA OF PROSTATE (Gleason Score 5+3 = 8/10) (Prostatic core biopsy)</t>
  </si>
  <si>
    <t xml:space="preserve">14.2ml</t>
  </si>
  <si>
    <t xml:space="preserve">ADENOCARCINOMA (COMBINED GLEASON SCORE 4 + 3 = 7/10)</t>
  </si>
  <si>
    <t xml:space="preserve">128ml</t>
  </si>
  <si>
    <t xml:space="preserve">ADENOCARCINOMA (GLEASON SCORE 3+3 = 6/10) (Prostatic tru-cut biopsy specimen)</t>
  </si>
  <si>
    <t xml:space="preserve">Enlarged, Vol.32.2ml</t>
  </si>
  <si>
    <t xml:space="preserve">ADENOCARCINOMA (Gleason Score 5 + 4 = 9/10)</t>
  </si>
  <si>
    <t xml:space="preserve">enlarged, 68ml</t>
  </si>
  <si>
    <t xml:space="preserve">HIGH-GRADE PROSTATIC INTRA-EPITHEIAL NEOPLASIA NB: A repeat biopsy may be necessary. Thank you.</t>
  </si>
  <si>
    <t xml:space="preserve">52CM3, ENLARGED</t>
  </si>
  <si>
    <t xml:space="preserve">no definitive histology</t>
  </si>
  <si>
    <t xml:space="preserve">ENLARGED, 223CM3</t>
  </si>
  <si>
    <t xml:space="preserve">ADENOCARCINOMA (GLEASON SCORE (5+3) = 8/10)</t>
  </si>
  <si>
    <t xml:space="preserve">ENLARGED, 37.4ml</t>
  </si>
  <si>
    <t xml:space="preserve">ADENOCARCINOMA (GLEASON SCORE = 9/10</t>
  </si>
  <si>
    <t xml:space="preserve">54.6cm3</t>
  </si>
  <si>
    <t xml:space="preserve">ADENOCARCINOMA (GLEASON SCORE 3+4 = 7/10)</t>
  </si>
  <si>
    <t xml:space="preserve">39ml, ENLARGED</t>
  </si>
  <si>
    <t xml:space="preserve">NODULAR HYPERPLASIA (Prostatic tissue specimen)</t>
  </si>
  <si>
    <t xml:space="preserve">Enalarged, vol 163ml</t>
  </si>
  <si>
    <t xml:space="preserve">NODULAR HYPERPLASIA (Prostatic tissues biopsy) NB: Some of the cores show only fatty, muscular and skin tissues. May repeat biopsy please. Thank you.</t>
  </si>
  <si>
    <t xml:space="preserve">85.6ml, ENLARGED</t>
  </si>
  <si>
    <t xml:space="preserve">ADENOCARCINOMA (GLEASON SCORE 5 (2+3)</t>
  </si>
  <si>
    <t xml:space="preserve">58.74ml, ENLARGED</t>
  </si>
  <si>
    <t xml:space="preserve">READ TEXT NB: A repeat biopsy will be more helpful. Thank you.</t>
  </si>
  <si>
    <t xml:space="preserve">ENLARGED, 90ml</t>
  </si>
  <si>
    <t xml:space="preserve">ADENOCARCINOMA (GLEASON SCORE 4+5 = 9/10)</t>
  </si>
  <si>
    <t xml:space="preserve">Enlarged, Volume 65.7ml</t>
  </si>
  <si>
    <t xml:space="preserve">ADENOCARCINOMA (GLEASON SCORE 8 (3 + 5/10)</t>
  </si>
  <si>
    <t xml:space="preserve">322ml, markedly enlarged</t>
  </si>
  <si>
    <t xml:space="preserve">ADENOCARCINOMA (GLEASON SCORE 4+3 = 7/10) (Prostate tru-cut biopsy)</t>
  </si>
  <si>
    <t xml:space="preserve">117ml, ENLARGED</t>
  </si>
  <si>
    <t xml:space="preserve">PROSTATIC ADENOCARCINOMA (GLEASON SCORE 3+4 = 7/10)</t>
  </si>
  <si>
    <t xml:space="preserve">ENLARGED</t>
  </si>
  <si>
    <t xml:space="preserve">Enlarged prostate, Vol. 92.9ml</t>
  </si>
  <si>
    <t xml:space="preserve">NODULAR HYPERPLASIA (Prostate trucut biopsy)</t>
  </si>
  <si>
    <t xml:space="preserve">Enlarged, vol 47.7ml</t>
  </si>
  <si>
    <t xml:space="preserve">PROSTATE ADENOCARCINOMA (GLEASON SCORE 3+3 = 6/10)</t>
  </si>
  <si>
    <t xml:space="preserve">Enlarged, 45ml</t>
  </si>
  <si>
    <t xml:space="preserve">ENLARGED, 74ml</t>
  </si>
  <si>
    <t xml:space="preserve">NODULAR HYPERPLASIA (PREDOMINANT FIBROMUSCULAR HYPERPLASIA)</t>
  </si>
  <si>
    <t xml:space="preserve">45.62ml</t>
  </si>
  <si>
    <t xml:space="preserve">NODULAR HYPERPLASIA PLUS CHRONIC PROSTATITIS</t>
  </si>
  <si>
    <t xml:space="preserve">Enlarged, vol. 51ml</t>
  </si>
  <si>
    <t xml:space="preserve">PROSTATIC ADENOCARCINOMA (Gleason Score 5+4 = 9/10)</t>
  </si>
  <si>
    <t xml:space="preserve">enlarged, 60.9ml</t>
  </si>
  <si>
    <t xml:space="preserve">ADENOCARCINOMA OF PROSTATE(Gleason Score 5+4=9/10)</t>
  </si>
  <si>
    <t xml:space="preserve">ENLARGED, 62ml</t>
  </si>
  <si>
    <t xml:space="preserve">ADENOCARCINOMA (Gleason Score 5+4=9) (prostatic tru-cut biopsy)</t>
  </si>
  <si>
    <t xml:space="preserve">enlarged, vol.53.1ml</t>
  </si>
  <si>
    <t xml:space="preserve">60ml</t>
  </si>
  <si>
    <t xml:space="preserve">PROSTATIC INTRAEPITHELIAL NEOPLASIA (PIN) (Prostate tru-cut biopsy) NB: A repeat biopsy is advised as tissue cores are few and very short. Tissue may not be representative of suspected lesion.</t>
  </si>
  <si>
    <t xml:space="preserve">Enlarged, vol155ml</t>
  </si>
  <si>
    <t xml:space="preserve">ADENOCARCINOMA (GLEASON SCORE 3+4=7/10</t>
  </si>
  <si>
    <t xml:space="preserve">91.5ml</t>
  </si>
  <si>
    <t xml:space="preserve">READ TEXT (Prostate tru-cut biopsy specimen) NB: A repeat biopsy is advised.</t>
  </si>
  <si>
    <t xml:space="preserve">Normal size, Vol. 22.3ml</t>
  </si>
  <si>
    <t xml:space="preserve">ADENOCARCINOMA OF THE PROSTATE (Gleason 3+3=6/10</t>
  </si>
  <si>
    <t xml:space="preserve">Enlarged, vol 207ml</t>
  </si>
  <si>
    <t xml:space="preserve">ADENOCARCINOMA (GLEASON SCORE 4+5=9/10)</t>
  </si>
  <si>
    <t xml:space="preserve">Enlarged, Vol 33.2ml</t>
  </si>
  <si>
    <t xml:space="preserve">ADENOCARCINOMA (GLEASON SCORE 5+4 = 9/10) (Prostate biopsy specimen)</t>
  </si>
  <si>
    <t xml:space="preserve">56ml, Enlarged</t>
  </si>
  <si>
    <t xml:space="preserve">READ TEXT ABOVE</t>
  </si>
  <si>
    <t xml:space="preserve">Enlarged, 67ml</t>
  </si>
  <si>
    <t xml:space="preserve">READ TEXT ABOVE NB: We advised for another biopsy for a better assessment of this patient. Thank you.</t>
  </si>
  <si>
    <t xml:space="preserve">ADENOCARCINOMA OF PROSTATE (GLEASON SCORE (4+4) = 8/10.</t>
  </si>
  <si>
    <t xml:space="preserve">Enlarged, vol. 40ml</t>
  </si>
  <si>
    <t xml:space="preserve">INADEQUATE FOR HISTOLOGIC DIAGNOSIS NB: Kindly repeat bipsy to be processed with same laboratory number at no extra cost to patient.</t>
  </si>
  <si>
    <t xml:space="preserve">83ml, ENLARGED</t>
  </si>
  <si>
    <t xml:space="preserve">Agreement summary (calculated from the Records sheet)</t>
  </si>
  <si>
    <t xml:space="preserve">Measure</t>
  </si>
  <si>
    <t xml:space="preserve">Value</t>
  </si>
  <si>
    <t xml:space="preserve">Records reviewed</t>
  </si>
  <si>
    <t xml:space="preserve">Class: records in agreement</t>
  </si>
  <si>
    <t xml:space="preserve">Class: percent agreement</t>
  </si>
  <si>
    <t xml:space="preserve">Class: expected agreement by chance</t>
  </si>
  <si>
    <t xml:space="preserve">Class: Cohen's kappa</t>
  </si>
  <si>
    <t xml:space="preserve">Volume: records reviewed</t>
  </si>
  <si>
    <t xml:space="preserve">Volume: records in agreement (within 0.5 mL, or both absent)</t>
  </si>
  <si>
    <t xml:space="preserve">Volume: percent agreement</t>
  </si>
  <si>
    <t xml:space="preserve">Class disagreements to review</t>
  </si>
  <si>
    <t xml:space="preserve">Volume disagreements to review</t>
  </si>
  <si>
    <t xml:space="preserve">Disagreements: filter the Records sheet on class_agrees or volume_agrees equal to "no".</t>
  </si>
</sst>
</file>

<file path=xl/styles.xml><?xml version="1.0" encoding="utf-8"?>
<styleSheet xmlns="http://schemas.openxmlformats.org/spreadsheetml/2006/main">
  <numFmts count="3">
    <numFmt numFmtId="164" formatCode="General"/>
    <numFmt numFmtId="165" formatCode="0.0%"/>
    <numFmt numFmtId="166" formatCode="0.00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2" t="s">
        <v>2</v>
      </c>
    </row>
    <row r="6" customFormat="false" ht="15" hidden="false" customHeight="false" outlineLevel="0" collapsed="false">
      <c r="A6" s="2" t="s">
        <v>3</v>
      </c>
    </row>
    <row r="7" customFormat="false" ht="23.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60"/>
    <col collapsed="false" customWidth="true" hidden="false" outlineLevel="0" max="3" min="3" style="0" width="38"/>
    <col collapsed="false" customWidth="true" hidden="false" outlineLevel="0" max="4" min="4" style="0" width="22"/>
    <col collapsed="false" customWidth="true" hidden="false" outlineLevel="0" max="5" min="5" style="0" width="14"/>
    <col collapsed="false" customWidth="true" hidden="false" outlineLevel="0" max="6" min="6" style="0" width="22"/>
    <col collapsed="false" customWidth="true" hidden="false" outlineLevel="0" max="7" min="7" style="0" width="14"/>
    <col collapsed="false" customWidth="true" hidden="false" outlineLevel="0" max="9" min="8" style="0" width="12"/>
    <col collapsed="false" customWidth="true" hidden="false" outlineLevel="0" max="10" min="10" style="0" width="30"/>
  </cols>
  <sheetData>
    <row r="1" customFormat="false" ht="23.85" hidden="false" customHeight="false" outlineLevel="0" collapsed="false">
      <c r="A1" s="3" t="s">
        <v>11</v>
      </c>
      <c r="B1" s="3" t="s">
        <v>12</v>
      </c>
      <c r="C1" s="3" t="s">
        <v>13</v>
      </c>
      <c r="D1" s="3" t="s">
        <v>14</v>
      </c>
      <c r="E1" s="3" t="s">
        <v>15</v>
      </c>
      <c r="F1" s="3" t="s">
        <v>16</v>
      </c>
      <c r="G1" s="3" t="s">
        <v>17</v>
      </c>
      <c r="H1" s="3" t="s">
        <v>18</v>
      </c>
      <c r="I1" s="3" t="s">
        <v>19</v>
      </c>
      <c r="J1" s="3" t="s">
        <v>20</v>
      </c>
    </row>
    <row r="2" customFormat="false" ht="15" hidden="false" customHeight="false" outlineLevel="0" collapsed="false">
      <c r="A2" s="2" t="n">
        <v>25</v>
      </c>
      <c r="B2" s="2" t="s">
        <v>21</v>
      </c>
      <c r="C2" s="2" t="s">
        <v>22</v>
      </c>
      <c r="D2" s="2" t="s">
        <v>23</v>
      </c>
      <c r="E2" s="2" t="n">
        <v>150</v>
      </c>
      <c r="F2" s="4"/>
      <c r="G2" s="4"/>
      <c r="H2" s="2" t="str">
        <f aca="false">IF(F2="","",IF(F2=D2,"yes","no"))</f>
        <v/>
      </c>
      <c r="I2" s="2" t="str">
        <f aca="false">IF(F2="","",IFERROR(IF(AND(E2="",G2="none"),"yes",IF(OR(E2="",G2="none"),"no",IF(ABS(E2-G2)&lt;=0.5,"yes","no"))),"check"))</f>
        <v/>
      </c>
      <c r="J2" s="4"/>
    </row>
    <row r="3" customFormat="false" ht="15" hidden="false" customHeight="false" outlineLevel="0" collapsed="false">
      <c r="A3" s="2" t="n">
        <v>40</v>
      </c>
      <c r="B3" s="2" t="s">
        <v>21</v>
      </c>
      <c r="C3" s="2" t="s">
        <v>24</v>
      </c>
      <c r="D3" s="2" t="s">
        <v>23</v>
      </c>
      <c r="E3" s="2" t="n">
        <v>40.4</v>
      </c>
      <c r="F3" s="4"/>
      <c r="G3" s="4"/>
      <c r="H3" s="2" t="str">
        <f aca="false">IF(F3="","",IF(F3=D3,"yes","no"))</f>
        <v/>
      </c>
      <c r="I3" s="2" t="str">
        <f aca="false">IF(F3="","",IFERROR(IF(AND(E3="",G3="none"),"yes",IF(OR(E3="",G3="none"),"no",IF(ABS(E3-G3)&lt;=0.5,"yes","no"))),"check"))</f>
        <v/>
      </c>
      <c r="J3" s="4"/>
    </row>
    <row r="4" customFormat="false" ht="15" hidden="false" customHeight="false" outlineLevel="0" collapsed="false">
      <c r="A4" s="2" t="n">
        <v>42</v>
      </c>
      <c r="B4" s="2" t="s">
        <v>21</v>
      </c>
      <c r="C4" s="2" t="s">
        <v>25</v>
      </c>
      <c r="D4" s="2" t="s">
        <v>23</v>
      </c>
      <c r="E4" s="2" t="n">
        <v>38.8</v>
      </c>
      <c r="F4" s="4"/>
      <c r="G4" s="4"/>
      <c r="H4" s="2" t="str">
        <f aca="false">IF(F4="","",IF(F4=D4,"yes","no"))</f>
        <v/>
      </c>
      <c r="I4" s="2" t="str">
        <f aca="false">IF(F4="","",IFERROR(IF(AND(E4="",G4="none"),"yes",IF(OR(E4="",G4="none"),"no",IF(ABS(E4-G4)&lt;=0.5,"yes","no"))),"check"))</f>
        <v/>
      </c>
      <c r="J4" s="4"/>
    </row>
    <row r="5" customFormat="false" ht="15" hidden="false" customHeight="false" outlineLevel="0" collapsed="false">
      <c r="A5" s="2" t="n">
        <v>46</v>
      </c>
      <c r="B5" s="2" t="s">
        <v>21</v>
      </c>
      <c r="C5" s="2" t="s">
        <v>26</v>
      </c>
      <c r="D5" s="2" t="s">
        <v>23</v>
      </c>
      <c r="E5" s="2" t="n">
        <v>59</v>
      </c>
      <c r="F5" s="4"/>
      <c r="G5" s="4"/>
      <c r="H5" s="2" t="str">
        <f aca="false">IF(F5="","",IF(F5=D5,"yes","no"))</f>
        <v/>
      </c>
      <c r="I5" s="2" t="str">
        <f aca="false">IF(F5="","",IFERROR(IF(AND(E5="",G5="none"),"yes",IF(OR(E5="",G5="none"),"no",IF(ABS(E5-G5)&lt;=0.5,"yes","no"))),"check"))</f>
        <v/>
      </c>
      <c r="J5" s="4"/>
    </row>
    <row r="6" customFormat="false" ht="35.05" hidden="false" customHeight="false" outlineLevel="0" collapsed="false">
      <c r="A6" s="2" t="n">
        <v>48</v>
      </c>
      <c r="B6" s="2" t="s">
        <v>27</v>
      </c>
      <c r="C6" s="2" t="s">
        <v>28</v>
      </c>
      <c r="D6" s="2" t="s">
        <v>23</v>
      </c>
      <c r="E6" s="2" t="n">
        <v>125</v>
      </c>
      <c r="F6" s="4"/>
      <c r="G6" s="4"/>
      <c r="H6" s="2" t="str">
        <f aca="false">IF(F6="","",IF(F6=D6,"yes","no"))</f>
        <v/>
      </c>
      <c r="I6" s="2" t="str">
        <f aca="false">IF(F6="","",IFERROR(IF(AND(E6="",G6="none"),"yes",IF(OR(E6="",G6="none"),"no",IF(ABS(E6-G6)&lt;=0.5,"yes","no"))),"check"))</f>
        <v/>
      </c>
      <c r="J6" s="4"/>
    </row>
    <row r="7" customFormat="false" ht="35.05" hidden="false" customHeight="false" outlineLevel="0" collapsed="false">
      <c r="A7" s="2" t="n">
        <v>59</v>
      </c>
      <c r="B7" s="2" t="s">
        <v>29</v>
      </c>
      <c r="C7" s="2" t="s">
        <v>30</v>
      </c>
      <c r="D7" s="2" t="s">
        <v>23</v>
      </c>
      <c r="E7" s="2" t="n">
        <v>46.1</v>
      </c>
      <c r="F7" s="4"/>
      <c r="G7" s="4"/>
      <c r="H7" s="2" t="str">
        <f aca="false">IF(F7="","",IF(F7=D7,"yes","no"))</f>
        <v/>
      </c>
      <c r="I7" s="2" t="str">
        <f aca="false">IF(F7="","",IFERROR(IF(AND(E7="",G7="none"),"yes",IF(OR(E7="",G7="none"),"no",IF(ABS(E7-G7)&lt;=0.5,"yes","no"))),"check"))</f>
        <v/>
      </c>
      <c r="J7" s="4"/>
    </row>
    <row r="8" customFormat="false" ht="15" hidden="false" customHeight="false" outlineLevel="0" collapsed="false">
      <c r="A8" s="2" t="n">
        <v>69</v>
      </c>
      <c r="B8" s="2" t="s">
        <v>21</v>
      </c>
      <c r="C8" s="2" t="s">
        <v>31</v>
      </c>
      <c r="D8" s="2" t="s">
        <v>23</v>
      </c>
      <c r="E8" s="2" t="n">
        <v>112</v>
      </c>
      <c r="F8" s="4"/>
      <c r="G8" s="4"/>
      <c r="H8" s="2" t="str">
        <f aca="false">IF(F8="","",IF(F8=D8,"yes","no"))</f>
        <v/>
      </c>
      <c r="I8" s="2" t="str">
        <f aca="false">IF(F8="","",IFERROR(IF(AND(E8="",G8="none"),"yes",IF(OR(E8="",G8="none"),"no",IF(ABS(E8-G8)&lt;=0.5,"yes","no"))),"check"))</f>
        <v/>
      </c>
      <c r="J8" s="4"/>
    </row>
    <row r="9" customFormat="false" ht="15" hidden="false" customHeight="false" outlineLevel="0" collapsed="false">
      <c r="A9" s="2" t="n">
        <v>72</v>
      </c>
      <c r="B9" s="2" t="s">
        <v>21</v>
      </c>
      <c r="C9" s="2" t="s">
        <v>31</v>
      </c>
      <c r="D9" s="2" t="s">
        <v>23</v>
      </c>
      <c r="E9" s="2" t="n">
        <v>112</v>
      </c>
      <c r="F9" s="4"/>
      <c r="G9" s="4"/>
      <c r="H9" s="2" t="str">
        <f aca="false">IF(F9="","",IF(F9=D9,"yes","no"))</f>
        <v/>
      </c>
      <c r="I9" s="2" t="str">
        <f aca="false">IF(F9="","",IFERROR(IF(AND(E9="",G9="none"),"yes",IF(OR(E9="",G9="none"),"no",IF(ABS(E9-G9)&lt;=0.5,"yes","no"))),"check"))</f>
        <v/>
      </c>
      <c r="J9" s="4"/>
    </row>
    <row r="10" customFormat="false" ht="23.85" hidden="false" customHeight="false" outlineLevel="0" collapsed="false">
      <c r="A10" s="2" t="n">
        <v>104</v>
      </c>
      <c r="B10" s="2" t="s">
        <v>32</v>
      </c>
      <c r="C10" s="2" t="s">
        <v>33</v>
      </c>
      <c r="D10" s="2" t="s">
        <v>23</v>
      </c>
      <c r="E10" s="2" t="n">
        <v>453.8</v>
      </c>
      <c r="F10" s="4"/>
      <c r="G10" s="4"/>
      <c r="H10" s="2" t="str">
        <f aca="false">IF(F10="","",IF(F10=D10,"yes","no"))</f>
        <v/>
      </c>
      <c r="I10" s="2" t="str">
        <f aca="false">IF(F10="","",IFERROR(IF(AND(E10="",G10="none"),"yes",IF(OR(E10="",G10="none"),"no",IF(ABS(E10-G10)&lt;=0.5,"yes","no"))),"check"))</f>
        <v/>
      </c>
      <c r="J10" s="4"/>
    </row>
    <row r="11" customFormat="false" ht="15" hidden="false" customHeight="false" outlineLevel="0" collapsed="false">
      <c r="A11" s="2" t="n">
        <v>123</v>
      </c>
      <c r="B11" s="2" t="s">
        <v>34</v>
      </c>
      <c r="C11" s="2" t="s">
        <v>35</v>
      </c>
      <c r="D11" s="2" t="s">
        <v>36</v>
      </c>
      <c r="E11" s="2" t="n">
        <v>158.6</v>
      </c>
      <c r="F11" s="4"/>
      <c r="G11" s="4"/>
      <c r="H11" s="2" t="str">
        <f aca="false">IF(F11="","",IF(F11=D11,"yes","no"))</f>
        <v/>
      </c>
      <c r="I11" s="2" t="str">
        <f aca="false">IF(F11="","",IFERROR(IF(AND(E11="",G11="none"),"yes",IF(OR(E11="",G11="none"),"no",IF(ABS(E11-G11)&lt;=0.5,"yes","no"))),"check"))</f>
        <v/>
      </c>
      <c r="J11" s="4"/>
    </row>
    <row r="12" customFormat="false" ht="23.85" hidden="false" customHeight="false" outlineLevel="0" collapsed="false">
      <c r="A12" s="2" t="n">
        <v>140</v>
      </c>
      <c r="B12" s="2" t="s">
        <v>37</v>
      </c>
      <c r="C12" s="2" t="s">
        <v>38</v>
      </c>
      <c r="D12" s="2" t="s">
        <v>36</v>
      </c>
      <c r="E12" s="2" t="n">
        <v>14.2</v>
      </c>
      <c r="F12" s="4"/>
      <c r="G12" s="4"/>
      <c r="H12" s="2" t="str">
        <f aca="false">IF(F12="","",IF(F12=D12,"yes","no"))</f>
        <v/>
      </c>
      <c r="I12" s="2" t="str">
        <f aca="false">IF(F12="","",IFERROR(IF(AND(E12="",G12="none"),"yes",IF(OR(E12="",G12="none"),"no",IF(ABS(E12-G12)&lt;=0.5,"yes","no"))),"check"))</f>
        <v/>
      </c>
      <c r="J12" s="4"/>
    </row>
    <row r="13" customFormat="false" ht="15" hidden="false" customHeight="false" outlineLevel="0" collapsed="false">
      <c r="A13" s="2" t="n">
        <v>141</v>
      </c>
      <c r="B13" s="2" t="s">
        <v>39</v>
      </c>
      <c r="C13" s="2" t="s">
        <v>40</v>
      </c>
      <c r="D13" s="2" t="s">
        <v>36</v>
      </c>
      <c r="E13" s="2" t="n">
        <v>128</v>
      </c>
      <c r="F13" s="4"/>
      <c r="G13" s="4"/>
      <c r="H13" s="2" t="str">
        <f aca="false">IF(F13="","",IF(F13=D13,"yes","no"))</f>
        <v/>
      </c>
      <c r="I13" s="2" t="str">
        <f aca="false">IF(F13="","",IFERROR(IF(AND(E13="",G13="none"),"yes",IF(OR(E13="",G13="none"),"no",IF(ABS(E13-G13)&lt;=0.5,"yes","no"))),"check"))</f>
        <v/>
      </c>
      <c r="J13" s="4"/>
    </row>
    <row r="14" customFormat="false" ht="23.85" hidden="false" customHeight="false" outlineLevel="0" collapsed="false">
      <c r="A14" s="2" t="n">
        <v>151</v>
      </c>
      <c r="B14" s="2" t="s">
        <v>41</v>
      </c>
      <c r="C14" s="2" t="s">
        <v>42</v>
      </c>
      <c r="D14" s="2" t="s">
        <v>36</v>
      </c>
      <c r="E14" s="2" t="n">
        <v>32.2</v>
      </c>
      <c r="F14" s="4"/>
      <c r="G14" s="4"/>
      <c r="H14" s="2" t="str">
        <f aca="false">IF(F14="","",IF(F14=D14,"yes","no"))</f>
        <v/>
      </c>
      <c r="I14" s="2" t="str">
        <f aca="false">IF(F14="","",IFERROR(IF(AND(E14="",G14="none"),"yes",IF(OR(E14="",G14="none"),"no",IF(ABS(E14-G14)&lt;=0.5,"yes","no"))),"check"))</f>
        <v/>
      </c>
      <c r="J14" s="4"/>
    </row>
    <row r="15" customFormat="false" ht="15" hidden="false" customHeight="false" outlineLevel="0" collapsed="false">
      <c r="A15" s="2" t="n">
        <v>157</v>
      </c>
      <c r="B15" s="2" t="s">
        <v>43</v>
      </c>
      <c r="C15" s="2" t="s">
        <v>44</v>
      </c>
      <c r="D15" s="2" t="s">
        <v>36</v>
      </c>
      <c r="E15" s="2" t="n">
        <v>68</v>
      </c>
      <c r="F15" s="4"/>
      <c r="G15" s="4"/>
      <c r="H15" s="2" t="str">
        <f aca="false">IF(F15="","",IF(F15=D15,"yes","no"))</f>
        <v/>
      </c>
      <c r="I15" s="2" t="str">
        <f aca="false">IF(F15="","",IFERROR(IF(AND(E15="",G15="none"),"yes",IF(OR(E15="",G15="none"),"no",IF(ABS(E15-G15)&lt;=0.5,"yes","no"))),"check"))</f>
        <v/>
      </c>
      <c r="J15" s="4"/>
    </row>
    <row r="16" customFormat="false" ht="23.85" hidden="false" customHeight="false" outlineLevel="0" collapsed="false">
      <c r="A16" s="2" t="n">
        <v>158</v>
      </c>
      <c r="B16" s="2" t="s">
        <v>45</v>
      </c>
      <c r="C16" s="2" t="s">
        <v>46</v>
      </c>
      <c r="D16" s="2" t="s">
        <v>47</v>
      </c>
      <c r="E16" s="2" t="n">
        <v>52</v>
      </c>
      <c r="F16" s="4"/>
      <c r="G16" s="4"/>
      <c r="H16" s="2" t="str">
        <f aca="false">IF(F16="","",IF(F16=D16,"yes","no"))</f>
        <v/>
      </c>
      <c r="I16" s="2" t="str">
        <f aca="false">IF(F16="","",IFERROR(IF(AND(E16="",G16="none"),"yes",IF(OR(E16="",G16="none"),"no",IF(ABS(E16-G16)&lt;=0.5,"yes","no"))),"check"))</f>
        <v/>
      </c>
      <c r="J16" s="4"/>
    </row>
    <row r="17" customFormat="false" ht="15" hidden="false" customHeight="false" outlineLevel="0" collapsed="false">
      <c r="A17" s="2" t="n">
        <v>160</v>
      </c>
      <c r="B17" s="2" t="s">
        <v>21</v>
      </c>
      <c r="C17" s="2" t="s">
        <v>48</v>
      </c>
      <c r="D17" s="2" t="s">
        <v>23</v>
      </c>
      <c r="E17" s="2" t="n">
        <v>223</v>
      </c>
      <c r="F17" s="4"/>
      <c r="G17" s="4"/>
      <c r="H17" s="2" t="str">
        <f aca="false">IF(F17="","",IF(F17=D17,"yes","no"))</f>
        <v/>
      </c>
      <c r="I17" s="2" t="str">
        <f aca="false">IF(F17="","",IFERROR(IF(AND(E17="",G17="none"),"yes",IF(OR(E17="",G17="none"),"no",IF(ABS(E17-G17)&lt;=0.5,"yes","no"))),"check"))</f>
        <v/>
      </c>
      <c r="J17" s="4"/>
    </row>
    <row r="18" customFormat="false" ht="15" hidden="false" customHeight="false" outlineLevel="0" collapsed="false">
      <c r="A18" s="2" t="n">
        <v>161</v>
      </c>
      <c r="B18" s="2" t="s">
        <v>49</v>
      </c>
      <c r="C18" s="2" t="s">
        <v>50</v>
      </c>
      <c r="D18" s="2" t="s">
        <v>36</v>
      </c>
      <c r="E18" s="2" t="n">
        <v>37.4</v>
      </c>
      <c r="F18" s="4"/>
      <c r="G18" s="4"/>
      <c r="H18" s="2" t="str">
        <f aca="false">IF(F18="","",IF(F18=D18,"yes","no"))</f>
        <v/>
      </c>
      <c r="I18" s="2" t="str">
        <f aca="false">IF(F18="","",IFERROR(IF(AND(E18="",G18="none"),"yes",IF(OR(E18="",G18="none"),"no",IF(ABS(E18-G18)&lt;=0.5,"yes","no"))),"check"))</f>
        <v/>
      </c>
      <c r="J18" s="4"/>
    </row>
    <row r="19" customFormat="false" ht="15" hidden="false" customHeight="false" outlineLevel="0" collapsed="false">
      <c r="A19" s="2" t="n">
        <v>162</v>
      </c>
      <c r="B19" s="2" t="s">
        <v>51</v>
      </c>
      <c r="C19" s="2" t="s">
        <v>52</v>
      </c>
      <c r="D19" s="2" t="s">
        <v>36</v>
      </c>
      <c r="E19" s="2" t="n">
        <v>54.6</v>
      </c>
      <c r="F19" s="4"/>
      <c r="G19" s="4"/>
      <c r="H19" s="2" t="str">
        <f aca="false">IF(F19="","",IF(F19=D19,"yes","no"))</f>
        <v/>
      </c>
      <c r="I19" s="2" t="str">
        <f aca="false">IF(F19="","",IFERROR(IF(AND(E19="",G19="none"),"yes",IF(OR(E19="",G19="none"),"no",IF(ABS(E19-G19)&lt;=0.5,"yes","no"))),"check"))</f>
        <v/>
      </c>
      <c r="J19" s="4"/>
    </row>
    <row r="20" customFormat="false" ht="15" hidden="false" customHeight="false" outlineLevel="0" collapsed="false">
      <c r="A20" s="2" t="n">
        <v>170</v>
      </c>
      <c r="B20" s="2" t="s">
        <v>53</v>
      </c>
      <c r="C20" s="2" t="s">
        <v>54</v>
      </c>
      <c r="D20" s="2" t="s">
        <v>36</v>
      </c>
      <c r="E20" s="2" t="n">
        <v>39</v>
      </c>
      <c r="F20" s="4"/>
      <c r="G20" s="4"/>
      <c r="H20" s="2" t="str">
        <f aca="false">IF(F20="","",IF(F20=D20,"yes","no"))</f>
        <v/>
      </c>
      <c r="I20" s="2" t="str">
        <f aca="false">IF(F20="","",IFERROR(IF(AND(E20="",G20="none"),"yes",IF(OR(E20="",G20="none"),"no",IF(ABS(E20-G20)&lt;=0.5,"yes","no"))),"check"))</f>
        <v/>
      </c>
      <c r="J20" s="4"/>
    </row>
    <row r="21" customFormat="false" ht="15" hidden="false" customHeight="false" outlineLevel="0" collapsed="false">
      <c r="A21" s="2" t="n">
        <v>172</v>
      </c>
      <c r="B21" s="2" t="s">
        <v>55</v>
      </c>
      <c r="C21" s="2" t="s">
        <v>56</v>
      </c>
      <c r="D21" s="2" t="s">
        <v>23</v>
      </c>
      <c r="E21" s="2" t="n">
        <v>163</v>
      </c>
      <c r="F21" s="4"/>
      <c r="G21" s="4"/>
      <c r="H21" s="2" t="str">
        <f aca="false">IF(F21="","",IF(F21=D21,"yes","no"))</f>
        <v/>
      </c>
      <c r="I21" s="2" t="str">
        <f aca="false">IF(F21="","",IFERROR(IF(AND(E21="",G21="none"),"yes",IF(OR(E21="",G21="none"),"no",IF(ABS(E21-G21)&lt;=0.5,"yes","no"))),"check"))</f>
        <v/>
      </c>
      <c r="J21" s="4"/>
    </row>
    <row r="22" customFormat="false" ht="35.05" hidden="false" customHeight="false" outlineLevel="0" collapsed="false">
      <c r="A22" s="2" t="n">
        <v>173</v>
      </c>
      <c r="B22" s="2" t="s">
        <v>57</v>
      </c>
      <c r="C22" s="2" t="s">
        <v>58</v>
      </c>
      <c r="D22" s="2" t="s">
        <v>23</v>
      </c>
      <c r="E22" s="2" t="n">
        <v>85.6</v>
      </c>
      <c r="F22" s="4"/>
      <c r="G22" s="4"/>
      <c r="H22" s="2" t="str">
        <f aca="false">IF(F22="","",IF(F22=D22,"yes","no"))</f>
        <v/>
      </c>
      <c r="I22" s="2" t="str">
        <f aca="false">IF(F22="","",IFERROR(IF(AND(E22="",G22="none"),"yes",IF(OR(E22="",G22="none"),"no",IF(ABS(E22-G22)&lt;=0.5,"yes","no"))),"check"))</f>
        <v/>
      </c>
      <c r="J22" s="4"/>
    </row>
    <row r="23" customFormat="false" ht="15" hidden="false" customHeight="false" outlineLevel="0" collapsed="false">
      <c r="A23" s="2" t="n">
        <v>179</v>
      </c>
      <c r="B23" s="2" t="s">
        <v>59</v>
      </c>
      <c r="C23" s="2" t="s">
        <v>60</v>
      </c>
      <c r="D23" s="2" t="s">
        <v>36</v>
      </c>
      <c r="E23" s="2" t="n">
        <v>58.74</v>
      </c>
      <c r="F23" s="4"/>
      <c r="G23" s="4"/>
      <c r="H23" s="2" t="str">
        <f aca="false">IF(F23="","",IF(F23=D23,"yes","no"))</f>
        <v/>
      </c>
      <c r="I23" s="2" t="str">
        <f aca="false">IF(F23="","",IFERROR(IF(AND(E23="",G23="none"),"yes",IF(OR(E23="",G23="none"),"no",IF(ABS(E23-G23)&lt;=0.5,"yes","no"))),"check"))</f>
        <v/>
      </c>
      <c r="J23" s="4"/>
    </row>
    <row r="24" customFormat="false" ht="15" hidden="false" customHeight="false" outlineLevel="0" collapsed="false">
      <c r="A24" s="2" t="n">
        <v>181</v>
      </c>
      <c r="B24" s="2" t="s">
        <v>61</v>
      </c>
      <c r="C24" s="2" t="s">
        <v>62</v>
      </c>
      <c r="D24" s="2" t="s">
        <v>47</v>
      </c>
      <c r="E24" s="2" t="n">
        <v>90</v>
      </c>
      <c r="F24" s="4"/>
      <c r="G24" s="4"/>
      <c r="H24" s="2" t="str">
        <f aca="false">IF(F24="","",IF(F24=D24,"yes","no"))</f>
        <v/>
      </c>
      <c r="I24" s="2" t="str">
        <f aca="false">IF(F24="","",IFERROR(IF(AND(E24="",G24="none"),"yes",IF(OR(E24="",G24="none"),"no",IF(ABS(E24-G24)&lt;=0.5,"yes","no"))),"check"))</f>
        <v/>
      </c>
      <c r="J24" s="4"/>
    </row>
    <row r="25" customFormat="false" ht="15" hidden="false" customHeight="false" outlineLevel="0" collapsed="false">
      <c r="A25" s="2" t="n">
        <v>188</v>
      </c>
      <c r="B25" s="2" t="s">
        <v>63</v>
      </c>
      <c r="C25" s="2" t="s">
        <v>64</v>
      </c>
      <c r="D25" s="2" t="s">
        <v>36</v>
      </c>
      <c r="E25" s="2" t="n">
        <v>65.7</v>
      </c>
      <c r="F25" s="4"/>
      <c r="G25" s="4"/>
      <c r="H25" s="2" t="str">
        <f aca="false">IF(F25="","",IF(F25=D25,"yes","no"))</f>
        <v/>
      </c>
      <c r="I25" s="2" t="str">
        <f aca="false">IF(F25="","",IFERROR(IF(AND(E25="",G25="none"),"yes",IF(OR(E25="",G25="none"),"no",IF(ABS(E25-G25)&lt;=0.5,"yes","no"))),"check"))</f>
        <v/>
      </c>
      <c r="J25" s="4"/>
    </row>
    <row r="26" customFormat="false" ht="15" hidden="false" customHeight="false" outlineLevel="0" collapsed="false">
      <c r="A26" s="2" t="n">
        <v>197</v>
      </c>
      <c r="B26" s="2" t="s">
        <v>65</v>
      </c>
      <c r="C26" s="2" t="s">
        <v>66</v>
      </c>
      <c r="D26" s="2" t="s">
        <v>36</v>
      </c>
      <c r="E26" s="2" t="n">
        <v>322</v>
      </c>
      <c r="F26" s="4"/>
      <c r="G26" s="4"/>
      <c r="H26" s="2" t="str">
        <f aca="false">IF(F26="","",IF(F26=D26,"yes","no"))</f>
        <v/>
      </c>
      <c r="I26" s="2" t="str">
        <f aca="false">IF(F26="","",IFERROR(IF(AND(E26="",G26="none"),"yes",IF(OR(E26="",G26="none"),"no",IF(ABS(E26-G26)&lt;=0.5,"yes","no"))),"check"))</f>
        <v/>
      </c>
      <c r="J26" s="4"/>
    </row>
    <row r="27" customFormat="false" ht="23.85" hidden="false" customHeight="false" outlineLevel="0" collapsed="false">
      <c r="A27" s="2" t="n">
        <v>202</v>
      </c>
      <c r="B27" s="2" t="s">
        <v>67</v>
      </c>
      <c r="C27" s="2" t="s">
        <v>68</v>
      </c>
      <c r="D27" s="2" t="s">
        <v>36</v>
      </c>
      <c r="E27" s="2" t="n">
        <v>117</v>
      </c>
      <c r="F27" s="4"/>
      <c r="G27" s="4"/>
      <c r="H27" s="2" t="str">
        <f aca="false">IF(F27="","",IF(F27=D27,"yes","no"))</f>
        <v/>
      </c>
      <c r="I27" s="2" t="str">
        <f aca="false">IF(F27="","",IFERROR(IF(AND(E27="",G27="none"),"yes",IF(OR(E27="",G27="none"),"no",IF(ABS(E27-G27)&lt;=0.5,"yes","no"))),"check"))</f>
        <v/>
      </c>
      <c r="J27" s="4"/>
    </row>
    <row r="28" customFormat="false" ht="15" hidden="false" customHeight="false" outlineLevel="0" collapsed="false">
      <c r="A28" s="2" t="n">
        <v>203</v>
      </c>
      <c r="B28" s="2" t="s">
        <v>69</v>
      </c>
      <c r="C28" s="2" t="s">
        <v>70</v>
      </c>
      <c r="D28" s="2" t="s">
        <v>36</v>
      </c>
      <c r="E28" s="2"/>
      <c r="F28" s="4"/>
      <c r="G28" s="4"/>
      <c r="H28" s="2" t="str">
        <f aca="false">IF(F28="","",IF(F28=D28,"yes","no"))</f>
        <v/>
      </c>
      <c r="I28" s="2" t="str">
        <f aca="false">IF(F28="","",IFERROR(IF(AND(E28="",G28="none"),"yes",IF(OR(E28="",G28="none"),"no",IF(ABS(E28-G28)&lt;=0.5,"yes","no"))),"check"))</f>
        <v/>
      </c>
      <c r="J28" s="4"/>
    </row>
    <row r="29" customFormat="false" ht="23.85" hidden="false" customHeight="false" outlineLevel="0" collapsed="false">
      <c r="A29" s="2" t="n">
        <v>207</v>
      </c>
      <c r="B29" s="2" t="s">
        <v>41</v>
      </c>
      <c r="C29" s="2" t="s">
        <v>71</v>
      </c>
      <c r="D29" s="2" t="s">
        <v>36</v>
      </c>
      <c r="E29" s="2" t="n">
        <v>92.9</v>
      </c>
      <c r="F29" s="4"/>
      <c r="G29" s="4"/>
      <c r="H29" s="2" t="str">
        <f aca="false">IF(F29="","",IF(F29=D29,"yes","no"))</f>
        <v/>
      </c>
      <c r="I29" s="2" t="str">
        <f aca="false">IF(F29="","",IFERROR(IF(AND(E29="",G29="none"),"yes",IF(OR(E29="",G29="none"),"no",IF(ABS(E29-G29)&lt;=0.5,"yes","no"))),"check"))</f>
        <v/>
      </c>
      <c r="J29" s="4"/>
    </row>
    <row r="30" customFormat="false" ht="15" hidden="false" customHeight="false" outlineLevel="0" collapsed="false">
      <c r="A30" s="2" t="n">
        <v>212</v>
      </c>
      <c r="B30" s="2" t="s">
        <v>72</v>
      </c>
      <c r="C30" s="2" t="s">
        <v>73</v>
      </c>
      <c r="D30" s="2" t="s">
        <v>23</v>
      </c>
      <c r="E30" s="2" t="n">
        <v>47.7</v>
      </c>
      <c r="F30" s="4"/>
      <c r="G30" s="4"/>
      <c r="H30" s="2" t="str">
        <f aca="false">IF(F30="","",IF(F30=D30,"yes","no"))</f>
        <v/>
      </c>
      <c r="I30" s="2" t="str">
        <f aca="false">IF(F30="","",IFERROR(IF(AND(E30="",G30="none"),"yes",IF(OR(E30="",G30="none"),"no",IF(ABS(E30-G30)&lt;=0.5,"yes","no"))),"check"))</f>
        <v/>
      </c>
      <c r="J30" s="4"/>
    </row>
    <row r="31" customFormat="false" ht="15" hidden="false" customHeight="false" outlineLevel="0" collapsed="false">
      <c r="A31" s="2" t="n">
        <v>232</v>
      </c>
      <c r="B31" s="2" t="s">
        <v>74</v>
      </c>
      <c r="C31" s="2" t="s">
        <v>75</v>
      </c>
      <c r="D31" s="2" t="s">
        <v>36</v>
      </c>
      <c r="E31" s="2" t="n">
        <v>45</v>
      </c>
      <c r="F31" s="4"/>
      <c r="G31" s="4"/>
      <c r="H31" s="2" t="str">
        <f aca="false">IF(F31="","",IF(F31=D31,"yes","no"))</f>
        <v/>
      </c>
      <c r="I31" s="2" t="str">
        <f aca="false">IF(F31="","",IFERROR(IF(AND(E31="",G31="none"),"yes",IF(OR(E31="",G31="none"),"no",IF(ABS(E31-G31)&lt;=0.5,"yes","no"))),"check"))</f>
        <v/>
      </c>
      <c r="J31" s="4"/>
    </row>
    <row r="32" customFormat="false" ht="15" hidden="false" customHeight="false" outlineLevel="0" collapsed="false">
      <c r="A32" s="2" t="n">
        <v>237</v>
      </c>
      <c r="B32" s="2" t="s">
        <v>21</v>
      </c>
      <c r="C32" s="2" t="s">
        <v>76</v>
      </c>
      <c r="D32" s="2" t="s">
        <v>23</v>
      </c>
      <c r="E32" s="2" t="n">
        <v>74</v>
      </c>
      <c r="F32" s="4"/>
      <c r="G32" s="4"/>
      <c r="H32" s="2" t="str">
        <f aca="false">IF(F32="","",IF(F32=D32,"yes","no"))</f>
        <v/>
      </c>
      <c r="I32" s="2" t="str">
        <f aca="false">IF(F32="","",IFERROR(IF(AND(E32="",G32="none"),"yes",IF(OR(E32="",G32="none"),"no",IF(ABS(E32-G32)&lt;=0.5,"yes","no"))),"check"))</f>
        <v/>
      </c>
      <c r="J32" s="4"/>
    </row>
    <row r="33" customFormat="false" ht="23.85" hidden="false" customHeight="false" outlineLevel="0" collapsed="false">
      <c r="A33" s="2" t="n">
        <v>248</v>
      </c>
      <c r="B33" s="2" t="s">
        <v>77</v>
      </c>
      <c r="C33" s="2" t="s">
        <v>78</v>
      </c>
      <c r="D33" s="2" t="s">
        <v>23</v>
      </c>
      <c r="E33" s="2" t="n">
        <v>45.62</v>
      </c>
      <c r="F33" s="4"/>
      <c r="G33" s="4"/>
      <c r="H33" s="2" t="str">
        <f aca="false">IF(F33="","",IF(F33=D33,"yes","no"))</f>
        <v/>
      </c>
      <c r="I33" s="2" t="str">
        <f aca="false">IF(F33="","",IFERROR(IF(AND(E33="",G33="none"),"yes",IF(OR(E33="",G33="none"),"no",IF(ABS(E33-G33)&lt;=0.5,"yes","no"))),"check"))</f>
        <v/>
      </c>
      <c r="J33" s="4"/>
    </row>
    <row r="34" customFormat="false" ht="15" hidden="false" customHeight="false" outlineLevel="0" collapsed="false">
      <c r="A34" s="2" t="n">
        <v>250</v>
      </c>
      <c r="B34" s="2" t="s">
        <v>79</v>
      </c>
      <c r="C34" s="2" t="s">
        <v>80</v>
      </c>
      <c r="D34" s="2" t="s">
        <v>23</v>
      </c>
      <c r="E34" s="2" t="n">
        <v>51</v>
      </c>
      <c r="F34" s="4"/>
      <c r="G34" s="4"/>
      <c r="H34" s="2" t="str">
        <f aca="false">IF(F34="","",IF(F34=D34,"yes","no"))</f>
        <v/>
      </c>
      <c r="I34" s="2" t="str">
        <f aca="false">IF(F34="","",IFERROR(IF(AND(E34="",G34="none"),"yes",IF(OR(E34="",G34="none"),"no",IF(ABS(E34-G34)&lt;=0.5,"yes","no"))),"check"))</f>
        <v/>
      </c>
      <c r="J34" s="4"/>
    </row>
    <row r="35" customFormat="false" ht="15" hidden="false" customHeight="false" outlineLevel="0" collapsed="false">
      <c r="A35" s="2" t="n">
        <v>251</v>
      </c>
      <c r="B35" s="2" t="s">
        <v>81</v>
      </c>
      <c r="C35" s="2" t="s">
        <v>82</v>
      </c>
      <c r="D35" s="2" t="s">
        <v>36</v>
      </c>
      <c r="E35" s="2" t="n">
        <v>60.9</v>
      </c>
      <c r="F35" s="4"/>
      <c r="G35" s="4"/>
      <c r="H35" s="2" t="str">
        <f aca="false">IF(F35="","",IF(F35=D35,"yes","no"))</f>
        <v/>
      </c>
      <c r="I35" s="2" t="str">
        <f aca="false">IF(F35="","",IFERROR(IF(AND(E35="",G35="none"),"yes",IF(OR(E35="",G35="none"),"no",IF(ABS(E35-G35)&lt;=0.5,"yes","no"))),"check"))</f>
        <v/>
      </c>
      <c r="J35" s="4"/>
    </row>
    <row r="36" customFormat="false" ht="15" hidden="false" customHeight="false" outlineLevel="0" collapsed="false">
      <c r="A36" s="2" t="n">
        <v>263</v>
      </c>
      <c r="B36" s="2" t="s">
        <v>83</v>
      </c>
      <c r="C36" s="2" t="s">
        <v>84</v>
      </c>
      <c r="D36" s="2" t="s">
        <v>36</v>
      </c>
      <c r="E36" s="2" t="n">
        <v>62</v>
      </c>
      <c r="F36" s="4"/>
      <c r="G36" s="4"/>
      <c r="H36" s="2" t="str">
        <f aca="false">IF(F36="","",IF(F36=D36,"yes","no"))</f>
        <v/>
      </c>
      <c r="I36" s="2" t="str">
        <f aca="false">IF(F36="","",IFERROR(IF(AND(E36="",G36="none"),"yes",IF(OR(E36="",G36="none"),"no",IF(ABS(E36-G36)&lt;=0.5,"yes","no"))),"check"))</f>
        <v/>
      </c>
      <c r="J36" s="4"/>
    </row>
    <row r="37" customFormat="false" ht="15" hidden="false" customHeight="false" outlineLevel="0" collapsed="false">
      <c r="A37" s="2" t="n">
        <v>267</v>
      </c>
      <c r="B37" s="2" t="s">
        <v>81</v>
      </c>
      <c r="C37" s="2" t="s">
        <v>82</v>
      </c>
      <c r="D37" s="2" t="s">
        <v>36</v>
      </c>
      <c r="E37" s="2" t="n">
        <v>60.9</v>
      </c>
      <c r="F37" s="4"/>
      <c r="G37" s="4"/>
      <c r="H37" s="2" t="str">
        <f aca="false">IF(F37="","",IF(F37=D37,"yes","no"))</f>
        <v/>
      </c>
      <c r="I37" s="2" t="str">
        <f aca="false">IF(F37="","",IFERROR(IF(AND(E37="",G37="none"),"yes",IF(OR(E37="",G37="none"),"no",IF(ABS(E37-G37)&lt;=0.5,"yes","no"))),"check"))</f>
        <v/>
      </c>
      <c r="J37" s="4"/>
    </row>
    <row r="38" customFormat="false" ht="15" hidden="false" customHeight="false" outlineLevel="0" collapsed="false">
      <c r="A38" s="2" t="n">
        <v>271</v>
      </c>
      <c r="B38" s="2" t="s">
        <v>85</v>
      </c>
      <c r="C38" s="2" t="s">
        <v>86</v>
      </c>
      <c r="D38" s="2" t="s">
        <v>36</v>
      </c>
      <c r="E38" s="2" t="n">
        <v>53.1</v>
      </c>
      <c r="F38" s="4"/>
      <c r="G38" s="4"/>
      <c r="H38" s="2" t="str">
        <f aca="false">IF(F38="","",IF(F38=D38,"yes","no"))</f>
        <v/>
      </c>
      <c r="I38" s="2" t="str">
        <f aca="false">IF(F38="","",IFERROR(IF(AND(E38="",G38="none"),"yes",IF(OR(E38="",G38="none"),"no",IF(ABS(E38-G38)&lt;=0.5,"yes","no"))),"check"))</f>
        <v/>
      </c>
      <c r="J38" s="4"/>
    </row>
    <row r="39" customFormat="false" ht="15" hidden="false" customHeight="false" outlineLevel="0" collapsed="false">
      <c r="A39" s="2" t="n">
        <v>273</v>
      </c>
      <c r="B39" s="2" t="s">
        <v>21</v>
      </c>
      <c r="C39" s="2" t="s">
        <v>87</v>
      </c>
      <c r="D39" s="2" t="s">
        <v>23</v>
      </c>
      <c r="E39" s="2" t="n">
        <v>60</v>
      </c>
      <c r="F39" s="4"/>
      <c r="G39" s="4"/>
      <c r="H39" s="2" t="str">
        <f aca="false">IF(F39="","",IF(F39=D39,"yes","no"))</f>
        <v/>
      </c>
      <c r="I39" s="2" t="str">
        <f aca="false">IF(F39="","",IFERROR(IF(AND(E39="",G39="none"),"yes",IF(OR(E39="",G39="none"),"no",IF(ABS(E39-G39)&lt;=0.5,"yes","no"))),"check"))</f>
        <v/>
      </c>
      <c r="J39" s="4"/>
    </row>
    <row r="40" customFormat="false" ht="35.05" hidden="false" customHeight="false" outlineLevel="0" collapsed="false">
      <c r="A40" s="2" t="n">
        <v>295</v>
      </c>
      <c r="B40" s="2" t="s">
        <v>88</v>
      </c>
      <c r="C40" s="2" t="s">
        <v>89</v>
      </c>
      <c r="D40" s="2" t="s">
        <v>47</v>
      </c>
      <c r="E40" s="2" t="n">
        <v>155</v>
      </c>
      <c r="F40" s="4"/>
      <c r="G40" s="4"/>
      <c r="H40" s="2" t="str">
        <f aca="false">IF(F40="","",IF(F40=D40,"yes","no"))</f>
        <v/>
      </c>
      <c r="I40" s="2" t="str">
        <f aca="false">IF(F40="","",IFERROR(IF(AND(E40="",G40="none"),"yes",IF(OR(E40="",G40="none"),"no",IF(ABS(E40-G40)&lt;=0.5,"yes","no"))),"check"))</f>
        <v/>
      </c>
      <c r="J40" s="4"/>
    </row>
    <row r="41" customFormat="false" ht="15" hidden="false" customHeight="false" outlineLevel="0" collapsed="false">
      <c r="A41" s="2" t="n">
        <v>297</v>
      </c>
      <c r="B41" s="2" t="s">
        <v>85</v>
      </c>
      <c r="C41" s="2" t="s">
        <v>86</v>
      </c>
      <c r="D41" s="2" t="s">
        <v>36</v>
      </c>
      <c r="E41" s="2" t="n">
        <v>53.1</v>
      </c>
      <c r="F41" s="4"/>
      <c r="G41" s="4"/>
      <c r="H41" s="2" t="str">
        <f aca="false">IF(F41="","",IF(F41=D41,"yes","no"))</f>
        <v/>
      </c>
      <c r="I41" s="2" t="str">
        <f aca="false">IF(F41="","",IFERROR(IF(AND(E41="",G41="none"),"yes",IF(OR(E41="",G41="none"),"no",IF(ABS(E41-G41)&lt;=0.5,"yes","no"))),"check"))</f>
        <v/>
      </c>
      <c r="J41" s="4"/>
    </row>
    <row r="42" customFormat="false" ht="15" hidden="false" customHeight="false" outlineLevel="0" collapsed="false">
      <c r="A42" s="2" t="n">
        <v>300</v>
      </c>
      <c r="B42" s="2" t="s">
        <v>21</v>
      </c>
      <c r="C42" s="2" t="s">
        <v>76</v>
      </c>
      <c r="D42" s="2" t="s">
        <v>23</v>
      </c>
      <c r="E42" s="2" t="n">
        <v>74</v>
      </c>
      <c r="F42" s="4"/>
      <c r="G42" s="4"/>
      <c r="H42" s="2" t="str">
        <f aca="false">IF(F42="","",IF(F42=D42,"yes","no"))</f>
        <v/>
      </c>
      <c r="I42" s="2" t="str">
        <f aca="false">IF(F42="","",IFERROR(IF(AND(E42="",G42="none"),"yes",IF(OR(E42="",G42="none"),"no",IF(ABS(E42-G42)&lt;=0.5,"yes","no"))),"check"))</f>
        <v/>
      </c>
      <c r="J42" s="4"/>
    </row>
    <row r="43" customFormat="false" ht="15" hidden="false" customHeight="false" outlineLevel="0" collapsed="false">
      <c r="A43" s="2" t="n">
        <v>303</v>
      </c>
      <c r="B43" s="2" t="s">
        <v>90</v>
      </c>
      <c r="C43" s="2" t="s">
        <v>91</v>
      </c>
      <c r="D43" s="2" t="s">
        <v>36</v>
      </c>
      <c r="E43" s="2" t="n">
        <v>91.5</v>
      </c>
      <c r="F43" s="4"/>
      <c r="G43" s="4"/>
      <c r="H43" s="2" t="str">
        <f aca="false">IF(F43="","",IF(F43=D43,"yes","no"))</f>
        <v/>
      </c>
      <c r="I43" s="2" t="str">
        <f aca="false">IF(F43="","",IFERROR(IF(AND(E43="",G43="none"),"yes",IF(OR(E43="",G43="none"),"no",IF(ABS(E43-G43)&lt;=0.5,"yes","no"))),"check"))</f>
        <v/>
      </c>
      <c r="J43" s="4"/>
    </row>
    <row r="44" customFormat="false" ht="23.85" hidden="false" customHeight="false" outlineLevel="0" collapsed="false">
      <c r="A44" s="2" t="n">
        <v>313</v>
      </c>
      <c r="B44" s="2" t="s">
        <v>92</v>
      </c>
      <c r="C44" s="2" t="s">
        <v>93</v>
      </c>
      <c r="D44" s="2" t="s">
        <v>47</v>
      </c>
      <c r="E44" s="2" t="n">
        <v>22.3</v>
      </c>
      <c r="F44" s="4"/>
      <c r="G44" s="4"/>
      <c r="H44" s="2" t="str">
        <f aca="false">IF(F44="","",IF(F44=D44,"yes","no"))</f>
        <v/>
      </c>
      <c r="I44" s="2" t="str">
        <f aca="false">IF(F44="","",IFERROR(IF(AND(E44="",G44="none"),"yes",IF(OR(E44="",G44="none"),"no",IF(ABS(E44-G44)&lt;=0.5,"yes","no"))),"check"))</f>
        <v/>
      </c>
      <c r="J44" s="4"/>
    </row>
    <row r="45" customFormat="false" ht="15" hidden="false" customHeight="false" outlineLevel="0" collapsed="false">
      <c r="A45" s="2" t="n">
        <v>319</v>
      </c>
      <c r="B45" s="2" t="s">
        <v>94</v>
      </c>
      <c r="C45" s="2" t="s">
        <v>95</v>
      </c>
      <c r="D45" s="2" t="s">
        <v>36</v>
      </c>
      <c r="E45" s="2" t="n">
        <v>207</v>
      </c>
      <c r="F45" s="4"/>
      <c r="G45" s="4"/>
      <c r="H45" s="2" t="str">
        <f aca="false">IF(F45="","",IF(F45=D45,"yes","no"))</f>
        <v/>
      </c>
      <c r="I45" s="2" t="str">
        <f aca="false">IF(F45="","",IFERROR(IF(AND(E45="",G45="none"),"yes",IF(OR(E45="",G45="none"),"no",IF(ABS(E45-G45)&lt;=0.5,"yes","no"))),"check"))</f>
        <v/>
      </c>
      <c r="J45" s="4"/>
    </row>
    <row r="46" customFormat="false" ht="15" hidden="false" customHeight="false" outlineLevel="0" collapsed="false">
      <c r="A46" s="2" t="n">
        <v>322</v>
      </c>
      <c r="B46" s="2" t="s">
        <v>96</v>
      </c>
      <c r="C46" s="2" t="s">
        <v>97</v>
      </c>
      <c r="D46" s="2" t="s">
        <v>36</v>
      </c>
      <c r="E46" s="2" t="n">
        <v>33.2</v>
      </c>
      <c r="F46" s="4"/>
      <c r="G46" s="4"/>
      <c r="H46" s="2" t="str">
        <f aca="false">IF(F46="","",IF(F46=D46,"yes","no"))</f>
        <v/>
      </c>
      <c r="I46" s="2" t="str">
        <f aca="false">IF(F46="","",IFERROR(IF(AND(E46="",G46="none"),"yes",IF(OR(E46="",G46="none"),"no",IF(ABS(E46-G46)&lt;=0.5,"yes","no"))),"check"))</f>
        <v/>
      </c>
      <c r="J46" s="4"/>
    </row>
    <row r="47" customFormat="false" ht="23.85" hidden="false" customHeight="false" outlineLevel="0" collapsed="false">
      <c r="A47" s="2" t="n">
        <v>325</v>
      </c>
      <c r="B47" s="2" t="s">
        <v>98</v>
      </c>
      <c r="C47" s="2" t="s">
        <v>99</v>
      </c>
      <c r="D47" s="2" t="s">
        <v>36</v>
      </c>
      <c r="E47" s="2" t="n">
        <v>56</v>
      </c>
      <c r="F47" s="4"/>
      <c r="G47" s="4"/>
      <c r="H47" s="2" t="str">
        <f aca="false">IF(F47="","",IF(F47=D47,"yes","no"))</f>
        <v/>
      </c>
      <c r="I47" s="2" t="str">
        <f aca="false">IF(F47="","",IFERROR(IF(AND(E47="",G47="none"),"yes",IF(OR(E47="",G47="none"),"no",IF(ABS(E47-G47)&lt;=0.5,"yes","no"))),"check"))</f>
        <v/>
      </c>
      <c r="J47" s="4"/>
    </row>
    <row r="48" customFormat="false" ht="15" hidden="false" customHeight="false" outlineLevel="0" collapsed="false">
      <c r="A48" s="2" t="n">
        <v>332</v>
      </c>
      <c r="B48" s="2" t="s">
        <v>100</v>
      </c>
      <c r="C48" s="2" t="s">
        <v>101</v>
      </c>
      <c r="D48" s="2" t="s">
        <v>47</v>
      </c>
      <c r="E48" s="2" t="n">
        <v>67</v>
      </c>
      <c r="F48" s="4"/>
      <c r="G48" s="4"/>
      <c r="H48" s="2" t="str">
        <f aca="false">IF(F48="","",IF(F48=D48,"yes","no"))</f>
        <v/>
      </c>
      <c r="I48" s="2" t="str">
        <f aca="false">IF(F48="","",IFERROR(IF(AND(E48="",G48="none"),"yes",IF(OR(E48="",G48="none"),"no",IF(ABS(E48-G48)&lt;=0.5,"yes","no"))),"check"))</f>
        <v/>
      </c>
      <c r="J48" s="4"/>
    </row>
    <row r="49" customFormat="false" ht="23.85" hidden="false" customHeight="false" outlineLevel="0" collapsed="false">
      <c r="A49" s="2" t="n">
        <v>335</v>
      </c>
      <c r="B49" s="2" t="s">
        <v>102</v>
      </c>
      <c r="C49" s="2" t="s">
        <v>54</v>
      </c>
      <c r="D49" s="2" t="s">
        <v>47</v>
      </c>
      <c r="E49" s="2" t="n">
        <v>39</v>
      </c>
      <c r="F49" s="4"/>
      <c r="G49" s="4"/>
      <c r="H49" s="2" t="str">
        <f aca="false">IF(F49="","",IF(F49=D49,"yes","no"))</f>
        <v/>
      </c>
      <c r="I49" s="2" t="str">
        <f aca="false">IF(F49="","",IFERROR(IF(AND(E49="",G49="none"),"yes",IF(OR(E49="",G49="none"),"no",IF(ABS(E49-G49)&lt;=0.5,"yes","no"))),"check"))</f>
        <v/>
      </c>
      <c r="J49" s="4"/>
    </row>
    <row r="50" customFormat="false" ht="15" hidden="false" customHeight="false" outlineLevel="0" collapsed="false">
      <c r="A50" s="2" t="n">
        <v>343</v>
      </c>
      <c r="B50" s="2" t="s">
        <v>103</v>
      </c>
      <c r="C50" s="2" t="s">
        <v>104</v>
      </c>
      <c r="D50" s="2" t="s">
        <v>36</v>
      </c>
      <c r="E50" s="2" t="n">
        <v>40</v>
      </c>
      <c r="F50" s="4"/>
      <c r="G50" s="4"/>
      <c r="H50" s="2" t="str">
        <f aca="false">IF(F50="","",IF(F50=D50,"yes","no"))</f>
        <v/>
      </c>
      <c r="I50" s="2" t="str">
        <f aca="false">IF(F50="","",IFERROR(IF(AND(E50="",G50="none"),"yes",IF(OR(E50="",G50="none"),"no",IF(ABS(E50-G50)&lt;=0.5,"yes","no"))),"check"))</f>
        <v/>
      </c>
      <c r="J50" s="4"/>
    </row>
    <row r="51" customFormat="false" ht="23.85" hidden="false" customHeight="false" outlineLevel="0" collapsed="false">
      <c r="A51" s="2" t="n">
        <v>345</v>
      </c>
      <c r="B51" s="2" t="s">
        <v>105</v>
      </c>
      <c r="C51" s="2" t="s">
        <v>106</v>
      </c>
      <c r="D51" s="2" t="s">
        <v>47</v>
      </c>
      <c r="E51" s="2" t="n">
        <v>83</v>
      </c>
      <c r="F51" s="4"/>
      <c r="G51" s="4"/>
      <c r="H51" s="2" t="str">
        <f aca="false">IF(F51="","",IF(F51=D51,"yes","no"))</f>
        <v/>
      </c>
      <c r="I51" s="2" t="str">
        <f aca="false">IF(F51="","",IFERROR(IF(AND(E51="",G51="none"),"yes",IF(OR(E51="",G51="none"),"no",IF(ABS(E51-G51)&lt;=0.5,"yes","no"))),"check"))</f>
        <v/>
      </c>
      <c r="J51" s="4"/>
    </row>
  </sheetData>
  <dataValidations count="1">
    <dataValidation allowBlank="true" errorStyle="stop" operator="between" showDropDown="false" showErrorMessage="false" showInputMessage="false" sqref="F2:F51" type="list">
      <formula1>"malignant,benign,no definitive histology"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s>
  <sheetData>
    <row r="1" customFormat="false" ht="15" hidden="false" customHeight="false" outlineLevel="0" collapsed="false">
      <c r="A1" s="5" t="s">
        <v>107</v>
      </c>
    </row>
    <row r="2" customFormat="false" ht="15" hidden="false" customHeight="false" outlineLevel="0" collapsed="false">
      <c r="A2" s="6" t="s">
        <v>108</v>
      </c>
      <c r="B2" s="6" t="s">
        <v>109</v>
      </c>
    </row>
    <row r="3" customFormat="false" ht="15" hidden="false" customHeight="false" outlineLevel="0" collapsed="false">
      <c r="A3" s="7" t="s">
        <v>110</v>
      </c>
      <c r="B3" s="7" t="n">
        <f aca="false">COUNTA(Records!F2:F51)</f>
        <v>0</v>
      </c>
    </row>
    <row r="4" customFormat="false" ht="15" hidden="false" customHeight="false" outlineLevel="0" collapsed="false">
      <c r="A4" s="7" t="s">
        <v>111</v>
      </c>
      <c r="B4" s="7" t="n">
        <f aca="false">COUNTIF(Records!H2:H51,"yes")</f>
        <v>0</v>
      </c>
    </row>
    <row r="5" customFormat="false" ht="15" hidden="false" customHeight="false" outlineLevel="0" collapsed="false">
      <c r="A5" s="7" t="s">
        <v>112</v>
      </c>
      <c r="B5" s="8" t="str">
        <f aca="false">IF(B3=0,"",B4/B3)</f>
        <v/>
      </c>
    </row>
    <row r="6" customFormat="false" ht="15" hidden="false" customHeight="false" outlineLevel="0" collapsed="false">
      <c r="A6" s="7" t="s">
        <v>113</v>
      </c>
      <c r="B6" s="9" t="str">
        <f aca="false">IF(B3=0,"",(COUNTIF(Records!D2:D51,"malignant")*COUNTIF(Records!F2:F51,"malignant")+COUNTIF(Records!D2:D51,"benign")*COUNTIF(Records!F2:F51,"benign")+COUNTIF(Records!D2:D51,"no definitive histology")*COUNTIF(Records!F2:F51,"no definitive histology"))/B3^2)</f>
        <v/>
      </c>
    </row>
    <row r="7" customFormat="false" ht="15" hidden="false" customHeight="false" outlineLevel="0" collapsed="false">
      <c r="A7" s="7" t="s">
        <v>114</v>
      </c>
      <c r="B7" s="9" t="str">
        <f aca="false">IF(B3=0,"",IFERROR((B5-B6)/(1-B6),""))</f>
        <v/>
      </c>
    </row>
    <row r="8" customFormat="false" ht="15" hidden="false" customHeight="false" outlineLevel="0" collapsed="false">
      <c r="A8" s="7" t="s">
        <v>115</v>
      </c>
      <c r="B8" s="7" t="n">
        <f aca="false">COUNTIF(Records!I2:I51,"yes")+COUNTIF(Records!I2:I51,"no")+COUNTIF(Records!I2:I51,"check")</f>
        <v>0</v>
      </c>
    </row>
    <row r="9" customFormat="false" ht="15" hidden="false" customHeight="false" outlineLevel="0" collapsed="false">
      <c r="A9" s="7" t="s">
        <v>116</v>
      </c>
      <c r="B9" s="7" t="n">
        <f aca="false">COUNTIF(Records!I2:I51,"yes")</f>
        <v>0</v>
      </c>
    </row>
    <row r="10" customFormat="false" ht="15" hidden="false" customHeight="false" outlineLevel="0" collapsed="false">
      <c r="A10" s="7" t="s">
        <v>117</v>
      </c>
      <c r="B10" s="8" t="str">
        <f aca="false">IF(B8=0,"",B9/B8)</f>
        <v/>
      </c>
    </row>
    <row r="11" customFormat="false" ht="15" hidden="false" customHeight="false" outlineLevel="0" collapsed="false">
      <c r="A11" s="7" t="s">
        <v>118</v>
      </c>
      <c r="B11" s="7" t="n">
        <f aca="false">COUNTIF(Records!H2:H51,"no")</f>
        <v>0</v>
      </c>
    </row>
    <row r="12" customFormat="false" ht="15" hidden="false" customHeight="false" outlineLevel="0" collapsed="false">
      <c r="A12" s="7" t="s">
        <v>119</v>
      </c>
      <c r="B12" s="7" t="n">
        <f aca="false">COUNTIF(Records!I2:I51,"no")</f>
        <v>0</v>
      </c>
    </row>
    <row r="14" customFormat="false" ht="15" hidden="false" customHeight="false" outlineLevel="0" collapsed="false">
      <c r="A14" s="10"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2026-10-26T08:32:20Z</dcterms:created>
  <dc:creator>openpyxl</dc:creator>
  <dc:description/>
  <dc:language>en-US</dc:language>
  <cp:lastModifiedBy/>
  <dcterms:modified xsi:type="dcterms:W3CDTF">2026-10-26T08:32:20Z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